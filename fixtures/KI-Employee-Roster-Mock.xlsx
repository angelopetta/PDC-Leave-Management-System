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Roste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<sst xmlns="http://schemas.openxmlformats.org/spreadsheetml/2006/main" count="189" uniqueCount="141">
  <si>
    <t xml:space="preserve">Employee ID</t>
  </si>
  <si>
    <t xml:space="preserve">First Name</t>
  </si>
  <si>
    <t xml:space="preserve">Last Name</t>
  </si>
  <si>
    <t xml:space="preserve">Email</t>
  </si>
  <si>
    <t xml:space="preserve">Job Title</t>
  </si>
  <si>
    <t xml:space="preserve">Department</t>
  </si>
  <si>
    <t xml:space="preserve">Employment Type</t>
  </si>
  <si>
    <t xml:space="preserve">Hire Date</t>
  </si>
  <si>
    <t xml:space="preserve">Years of Service</t>
  </si>
  <si>
    <t xml:space="preserve">Vacation Entitlement (days)</t>
  </si>
  <si>
    <t xml:space="preserve">Vacation Pay %</t>
  </si>
  <si>
    <t xml:space="preserve">Manager</t>
  </si>
  <si>
    <t xml:space="preserve">Status</t>
  </si>
  <si>
    <t xml:space="preserve">KI-001</t>
  </si>
  <si>
    <t xml:space="preserve">Margaret</t>
  </si>
  <si>
    <t xml:space="preserve">Anderson</t>
  </si>
  <si>
    <t xml:space="preserve">manderson@ki.example</t>
  </si>
  <si>
    <t xml:space="preserve">Chief Executive Officer</t>
  </si>
  <si>
    <t xml:space="preserve">Administration</t>
  </si>
  <si>
    <t xml:space="preserve">Permanent Full-Time</t>
  </si>
  <si>
    <t xml:space="preserve">—</t>
  </si>
  <si>
    <t xml:space="preserve">Active</t>
  </si>
  <si>
    <t xml:space="preserve">KI-002</t>
  </si>
  <si>
    <t xml:space="preserve">Robert</t>
  </si>
  <si>
    <t xml:space="preserve">Cree</t>
  </si>
  <si>
    <t xml:space="preserve">rcree@ki.example</t>
  </si>
  <si>
    <t xml:space="preserve">Lead Finance Officer</t>
  </si>
  <si>
    <t xml:space="preserve">Finance</t>
  </si>
  <si>
    <t xml:space="preserve">M. Anderson</t>
  </si>
  <si>
    <t xml:space="preserve">KI-003</t>
  </si>
  <si>
    <t xml:space="preserve">Sarah</t>
  </si>
  <si>
    <t xml:space="preserve">Whiteduck</t>
  </si>
  <si>
    <t xml:space="preserve">swhiteduck@ki.example</t>
  </si>
  <si>
    <t xml:space="preserve">Program Coordinator</t>
  </si>
  <si>
    <t xml:space="preserve">KI-004</t>
  </si>
  <si>
    <t xml:space="preserve">James</t>
  </si>
  <si>
    <t xml:space="preserve">Morin</t>
  </si>
  <si>
    <t xml:space="preserve">jmorin@ki.example</t>
  </si>
  <si>
    <t xml:space="preserve">Finance Officer</t>
  </si>
  <si>
    <t xml:space="preserve">R. Cree</t>
  </si>
  <si>
    <t xml:space="preserve">KI-005</t>
  </si>
  <si>
    <t xml:space="preserve">Michelle</t>
  </si>
  <si>
    <t xml:space="preserve">Sioui</t>
  </si>
  <si>
    <t xml:space="preserve">msioui@ki.example</t>
  </si>
  <si>
    <t xml:space="preserve">Community Worker</t>
  </si>
  <si>
    <t xml:space="preserve">Community Services</t>
  </si>
  <si>
    <t xml:space="preserve">KI-006</t>
  </si>
  <si>
    <t xml:space="preserve">Daniel</t>
  </si>
  <si>
    <t xml:space="preserve">Picard</t>
  </si>
  <si>
    <t xml:space="preserve">dpicard@ki.example</t>
  </si>
  <si>
    <t xml:space="preserve">IT Support Specialist</t>
  </si>
  <si>
    <t xml:space="preserve">KI-007</t>
  </si>
  <si>
    <t xml:space="preserve">Lisa</t>
  </si>
  <si>
    <t xml:space="preserve">Rankin</t>
  </si>
  <si>
    <t xml:space="preserve">lrankin@ki.example</t>
  </si>
  <si>
    <t xml:space="preserve">Health Aide</t>
  </si>
  <si>
    <t xml:space="preserve">Health Services</t>
  </si>
  <si>
    <t xml:space="preserve">KI-008</t>
  </si>
  <si>
    <t xml:space="preserve">Karen</t>
  </si>
  <si>
    <t xml:space="preserve">Oakes</t>
  </si>
  <si>
    <t xml:space="preserve">koakes@ki.example</t>
  </si>
  <si>
    <t xml:space="preserve">Education Coordinator</t>
  </si>
  <si>
    <t xml:space="preserve">Education</t>
  </si>
  <si>
    <t xml:space="preserve">KI-009</t>
  </si>
  <si>
    <t xml:space="preserve">Thomas</t>
  </si>
  <si>
    <t xml:space="preserve">Bell</t>
  </si>
  <si>
    <t xml:space="preserve">tbell@ki.example</t>
  </si>
  <si>
    <t xml:space="preserve">Youth Worker</t>
  </si>
  <si>
    <t xml:space="preserve">M. Sioui</t>
  </si>
  <si>
    <t xml:space="preserve">KI-010</t>
  </si>
  <si>
    <t xml:space="preserve">Angela</t>
  </si>
  <si>
    <t xml:space="preserve">Stone</t>
  </si>
  <si>
    <t xml:space="preserve">astone@ki.example</t>
  </si>
  <si>
    <t xml:space="preserve">Administrative Assistant</t>
  </si>
  <si>
    <t xml:space="preserve">KI-011</t>
  </si>
  <si>
    <t xml:space="preserve">Chris</t>
  </si>
  <si>
    <t xml:space="preserve">Martin</t>
  </si>
  <si>
    <t xml:space="preserve">cmartin@ki.example</t>
  </si>
  <si>
    <t xml:space="preserve">Lands Officer</t>
  </si>
  <si>
    <t xml:space="preserve">Lands &amp; Resources</t>
  </si>
  <si>
    <t xml:space="preserve">KI-012</t>
  </si>
  <si>
    <t xml:space="preserve">Nina</t>
  </si>
  <si>
    <t xml:space="preserve">Deer</t>
  </si>
  <si>
    <t xml:space="preserve">ndeer@ki.example</t>
  </si>
  <si>
    <t xml:space="preserve">Receptionist</t>
  </si>
  <si>
    <t xml:space="preserve">Probationary</t>
  </si>
  <si>
    <t xml:space="preserve">KI-013</t>
  </si>
  <si>
    <t xml:space="preserve">Paul</t>
  </si>
  <si>
    <t xml:space="preserve">Rivers</t>
  </si>
  <si>
    <t xml:space="preserve">privers@ki.example</t>
  </si>
  <si>
    <t xml:space="preserve">Housing Inspector</t>
  </si>
  <si>
    <t xml:space="preserve">Housing</t>
  </si>
  <si>
    <t xml:space="preserve">KI-014</t>
  </si>
  <si>
    <t xml:space="preserve">Evelyn</t>
  </si>
  <si>
    <t xml:space="preserve">Bear</t>
  </si>
  <si>
    <t xml:space="preserve">ebear@ki.example</t>
  </si>
  <si>
    <t xml:space="preserve">Cultural Liaison</t>
  </si>
  <si>
    <t xml:space="preserve">Term</t>
  </si>
  <si>
    <t xml:space="preserve">KI-015</t>
  </si>
  <si>
    <t xml:space="preserve">Jacob</t>
  </si>
  <si>
    <t xml:space="preserve">Linklater</t>
  </si>
  <si>
    <t xml:space="preserve">jlinklater@ki.example</t>
  </si>
  <si>
    <t xml:space="preserve">Maintenance Worker</t>
  </si>
  <si>
    <t xml:space="preserve">Facilities</t>
  </si>
  <si>
    <t xml:space="preserve">Seasonal</t>
  </si>
  <si>
    <t xml:space="preserve">KI-016</t>
  </si>
  <si>
    <t xml:space="preserve">Rebecca</t>
  </si>
  <si>
    <t xml:space="preserve">Thunder</t>
  </si>
  <si>
    <t xml:space="preserve">rthunder@ki.example</t>
  </si>
  <si>
    <t xml:space="preserve">Health Nurse</t>
  </si>
  <si>
    <t xml:space="preserve">KI Employee Roster — Mock Data</t>
  </si>
  <si>
    <t xml:space="preserve">Purpose</t>
  </si>
  <si>
    <t xml:space="preserve">Mock employee data for testing the KI Leave Management System. Replace with real employees before production.</t>
  </si>
  <si>
    <t xml:space="preserve">Reference date</t>
  </si>
  <si>
    <t xml:space="preserve">Years of Service and Vacation Entitlement are calculated as of April 1, 2026 (FY 2026/27 start).</t>
  </si>
  <si>
    <t xml:space="preserve">How to use</t>
  </si>
  <si>
    <t xml:space="preserve">1</t>
  </si>
  <si>
    <t xml:space="preserve">Update the Employee Roster sheet with real employee data.</t>
  </si>
  <si>
    <t xml:space="preserve">2</t>
  </si>
  <si>
    <t xml:space="preserve">Hire Date drives both Years of Service and Vacation Entitlement automatically.</t>
  </si>
  <si>
    <t xml:space="preserve">3</t>
  </si>
  <si>
    <t xml:space="preserve">Employment Type must be one of: Permanent Full-Time, Term, Probationary, Part-Time, Seasonal.</t>
  </si>
  <si>
    <t xml:space="preserve">4</t>
  </si>
  <si>
    <t xml:space="preserve">Term employees show 'N/A' — they receive vacation pay each pay period per Canada Labour Code.</t>
  </si>
  <si>
    <t xml:space="preserve">KI Vacation Tier Schedule (Policy 5.3)</t>
  </si>
  <si>
    <t xml:space="preserve">Vacation Days / Pay %</t>
  </si>
  <si>
    <t xml:space="preserve">0–3 years</t>
  </si>
  <si>
    <t xml:space="preserve">10 days / 4%</t>
  </si>
  <si>
    <t xml:space="preserve">4–10 years</t>
  </si>
  <si>
    <t xml:space="preserve">15 days / 6%</t>
  </si>
  <si>
    <t xml:space="preserve">11–15 years</t>
  </si>
  <si>
    <t xml:space="preserve">20 days / 8%</t>
  </si>
  <si>
    <t xml:space="preserve">15–20 years</t>
  </si>
  <si>
    <t xml:space="preserve">25 days / 10%</t>
  </si>
  <si>
    <t xml:space="preserve">20+ years</t>
  </si>
  <si>
    <t xml:space="preserve">30 days / 12%</t>
  </si>
  <si>
    <t xml:space="preserve">Notes</t>
  </si>
  <si>
    <t xml:space="preserve">Minimum 6 months continuous service required before requesting vacation.</t>
  </si>
  <si>
    <t xml:space="preserve">Vacation must be used in the year earned — no carryover.</t>
  </si>
  <si>
    <t xml:space="preserve">Maximum 3 consecutive weeks without special approval.</t>
  </si>
  <si>
    <t xml:space="preserve">Data in this file is fictional and for testing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</si>
</sst>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2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n">
        <v>39979</v>
      </c>
      <c r="I2" s="4" t="n">
        <f aca="false">DATEDIF(H2,DATE(2026,4,1),"Y")</f>
        <v>16</v>
      </c>
      <c r="J2" s="5" t="n">
        <f aca="false">IF(G2="Term","N/A (vacation pay per pay period)",IF(I2&gt;=20,30,IF(I2&gt;=15,25,IF(I2&gt;=11,20,IF(I2&gt;=4,15,10)))))</f>
        <v>25</v>
      </c>
      <c r="K2" s="6" t="n">
        <f aca="false">IF(I2&gt;=20,12%,IF(I2&gt;=15,10%,IF(I2&gt;=11,8%,IF(I2&gt;=4,6%,4%))))</f>
        <v>0.1</v>
      </c>
      <c r="L2" s="2" t="s">
        <v>20</v>
      </c>
      <c r="M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19</v>
      </c>
      <c r="H3" s="3" t="n">
        <v>40609</v>
      </c>
      <c r="I3" s="4" t="n">
        <f aca="false">DATEDIF(H3,DATE(2026,4,1),"Y")</f>
        <v>15</v>
      </c>
      <c r="J3" s="5" t="n">
        <f aca="false">IF(G3="Term","N/A (vacation pay per pay period)",IF(I3&gt;=20,30,IF(I3&gt;=15,25,IF(I3&gt;=11,20,IF(I3&gt;=4,15,10)))))</f>
        <v>25</v>
      </c>
      <c r="K3" s="6" t="n">
        <f aca="false">IF(I3&gt;=20,12%,IF(I3&gt;=15,10%,IF(I3&gt;=11,8%,IF(I3&gt;=4,6%,4%))))</f>
        <v>0.1</v>
      </c>
      <c r="L3" s="2" t="s">
        <v>28</v>
      </c>
      <c r="M3" s="2" t="s">
        <v>21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18</v>
      </c>
      <c r="G4" s="2" t="s">
        <v>19</v>
      </c>
      <c r="H4" s="3" t="n">
        <v>42248</v>
      </c>
      <c r="I4" s="4" t="n">
        <f aca="false">DATEDIF(H4,DATE(2026,4,1),"Y")</f>
        <v>10</v>
      </c>
      <c r="J4" s="5" t="n">
        <f aca="false">IF(G4="Term","N/A (vacation pay per pay period)",IF(I4&gt;=20,30,IF(I4&gt;=15,25,IF(I4&gt;=11,20,IF(I4&gt;=4,15,10)))))</f>
        <v>15</v>
      </c>
      <c r="K4" s="6" t="n">
        <f aca="false">IF(I4&gt;=20,12%,IF(I4&gt;=15,10%,IF(I4&gt;=11,8%,IF(I4&gt;=4,6%,4%))))</f>
        <v>0.06</v>
      </c>
      <c r="L4" s="2" t="s">
        <v>28</v>
      </c>
      <c r="M4" s="2" t="s">
        <v>21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27</v>
      </c>
      <c r="G5" s="2" t="s">
        <v>19</v>
      </c>
      <c r="H5" s="3" t="n">
        <v>43122</v>
      </c>
      <c r="I5" s="4" t="n">
        <f aca="false">DATEDIF(H5,DATE(2026,4,1),"Y")</f>
        <v>8</v>
      </c>
      <c r="J5" s="5" t="n">
        <f aca="false">IF(G5="Term","N/A (vacation pay per pay period)",IF(I5&gt;=20,30,IF(I5&gt;=15,25,IF(I5&gt;=11,20,IF(I5&gt;=4,15,10)))))</f>
        <v>15</v>
      </c>
      <c r="K5" s="6" t="n">
        <f aca="false">IF(I5&gt;=20,12%,IF(I5&gt;=15,10%,IF(I5&gt;=11,8%,IF(I5&gt;=4,6%,4%))))</f>
        <v>0.06</v>
      </c>
      <c r="L5" s="2" t="s">
        <v>39</v>
      </c>
      <c r="M5" s="2" t="s">
        <v>21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19</v>
      </c>
      <c r="H6" s="3" t="n">
        <v>43927</v>
      </c>
      <c r="I6" s="4" t="n">
        <f aca="false">DATEDIF(H6,DATE(2026,4,1),"Y")</f>
        <v>5</v>
      </c>
      <c r="J6" s="5" t="n">
        <f aca="false">IF(G6="Term","N/A (vacation pay per pay period)",IF(I6&gt;=20,30,IF(I6&gt;=15,25,IF(I6&gt;=11,20,IF(I6&gt;=4,15,10)))))</f>
        <v>15</v>
      </c>
      <c r="K6" s="6" t="n">
        <f aca="false">IF(I6&gt;=20,12%,IF(I6&gt;=15,10%,IF(I6&gt;=11,8%,IF(I6&gt;=4,6%,4%))))</f>
        <v>0.06</v>
      </c>
      <c r="L6" s="2" t="s">
        <v>28</v>
      </c>
      <c r="M6" s="2" t="s">
        <v>21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18</v>
      </c>
      <c r="G7" s="2" t="s">
        <v>19</v>
      </c>
      <c r="H7" s="3" t="n">
        <v>44424</v>
      </c>
      <c r="I7" s="4" t="n">
        <f aca="false">DATEDIF(H7,DATE(2026,4,1),"Y")</f>
        <v>4</v>
      </c>
      <c r="J7" s="5" t="n">
        <f aca="false">IF(G7="Term","N/A (vacation pay per pay period)",IF(I7&gt;=20,30,IF(I7&gt;=15,25,IF(I7&gt;=11,20,IF(I7&gt;=4,15,10)))))</f>
        <v>15</v>
      </c>
      <c r="K7" s="6" t="n">
        <f aca="false">IF(I7&gt;=20,12%,IF(I7&gt;=15,10%,IF(I7&gt;=11,8%,IF(I7&gt;=4,6%,4%))))</f>
        <v>0.06</v>
      </c>
      <c r="L7" s="2" t="s">
        <v>28</v>
      </c>
      <c r="M7" s="2" t="s">
        <v>21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19</v>
      </c>
      <c r="H8" s="3" t="n">
        <v>41582</v>
      </c>
      <c r="I8" s="4" t="n">
        <f aca="false">DATEDIF(H8,DATE(2026,4,1),"Y")</f>
        <v>12</v>
      </c>
      <c r="J8" s="5" t="n">
        <f aca="false">IF(G8="Term","N/A (vacation pay per pay period)",IF(I8&gt;=20,30,IF(I8&gt;=15,25,IF(I8&gt;=11,20,IF(I8&gt;=4,15,10)))))</f>
        <v>20</v>
      </c>
      <c r="K8" s="6" t="n">
        <f aca="false">IF(I8&gt;=20,12%,IF(I8&gt;=15,10%,IF(I8&gt;=11,8%,IF(I8&gt;=4,6%,4%))))</f>
        <v>0.08</v>
      </c>
      <c r="L8" s="2" t="s">
        <v>28</v>
      </c>
      <c r="M8" s="2" t="s">
        <v>21</v>
      </c>
    </row>
    <row r="9" customFormat="false" ht="15" hidden="false" customHeight="false" outlineLevel="0" collapsed="false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19</v>
      </c>
      <c r="H9" s="3" t="n">
        <v>42779</v>
      </c>
      <c r="I9" s="4" t="n">
        <f aca="false">DATEDIF(H9,DATE(2026,4,1),"Y")</f>
        <v>9</v>
      </c>
      <c r="J9" s="5" t="n">
        <f aca="false">IF(G9="Term","N/A (vacation pay per pay period)",IF(I9&gt;=20,30,IF(I9&gt;=15,25,IF(I9&gt;=11,20,IF(I9&gt;=4,15,10)))))</f>
        <v>15</v>
      </c>
      <c r="K9" s="6" t="n">
        <f aca="false">IF(I9&gt;=20,12%,IF(I9&gt;=15,10%,IF(I9&gt;=11,8%,IF(I9&gt;=4,6%,4%))))</f>
        <v>0.06</v>
      </c>
      <c r="L9" s="2" t="s">
        <v>28</v>
      </c>
      <c r="M9" s="2" t="s">
        <v>21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45</v>
      </c>
      <c r="G10" s="2" t="s">
        <v>19</v>
      </c>
      <c r="H10" s="3" t="n">
        <v>44837</v>
      </c>
      <c r="I10" s="4" t="n">
        <f aca="false">DATEDIF(H10,DATE(2026,4,1),"Y")</f>
        <v>3</v>
      </c>
      <c r="J10" s="5" t="n">
        <f aca="false">IF(G10="Term","N/A (vacation pay per pay period)",IF(I10&gt;=20,30,IF(I10&gt;=15,25,IF(I10&gt;=11,20,IF(I10&gt;=4,15,10)))))</f>
        <v>10</v>
      </c>
      <c r="K10" s="6" t="n">
        <f aca="false">IF(I10&gt;=20,12%,IF(I10&gt;=15,10%,IF(I10&gt;=11,8%,IF(I10&gt;=4,6%,4%))))</f>
        <v>0.04</v>
      </c>
      <c r="L10" s="2" t="s">
        <v>68</v>
      </c>
      <c r="M10" s="2" t="s">
        <v>21</v>
      </c>
    </row>
    <row r="11" customFormat="false" ht="15" hidden="false" customHeight="false" outlineLevel="0" collapsed="false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18</v>
      </c>
      <c r="G11" s="2" t="s">
        <v>19</v>
      </c>
      <c r="H11" s="3" t="n">
        <v>45432</v>
      </c>
      <c r="I11" s="4" t="n">
        <f aca="false">DATEDIF(H11,DATE(2026,4,1),"Y")</f>
        <v>1</v>
      </c>
      <c r="J11" s="5" t="n">
        <f aca="false">IF(G11="Term","N/A (vacation pay per pay period)",IF(I11&gt;=20,30,IF(I11&gt;=15,25,IF(I11&gt;=11,20,IF(I11&gt;=4,15,10)))))</f>
        <v>10</v>
      </c>
      <c r="K11" s="6" t="n">
        <f aca="false">IF(I11&gt;=20,12%,IF(I11&gt;=15,10%,IF(I11&gt;=11,8%,IF(I11&gt;=4,6%,4%))))</f>
        <v>0.04</v>
      </c>
      <c r="L11" s="2" t="s">
        <v>28</v>
      </c>
      <c r="M11" s="2" t="s">
        <v>21</v>
      </c>
    </row>
    <row r="12" customFormat="false" ht="15" hidden="false" customHeight="false" outlineLevel="0" collapsed="false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19</v>
      </c>
      <c r="H12" s="3" t="n">
        <v>43654</v>
      </c>
      <c r="I12" s="4" t="n">
        <f aca="false">DATEDIF(H12,DATE(2026,4,1),"Y")</f>
        <v>6</v>
      </c>
      <c r="J12" s="5" t="n">
        <f aca="false">IF(G12="Term","N/A (vacation pay per pay period)",IF(I12&gt;=20,30,IF(I12&gt;=15,25,IF(I12&gt;=11,20,IF(I12&gt;=4,15,10)))))</f>
        <v>15</v>
      </c>
      <c r="K12" s="6" t="n">
        <f aca="false">IF(I12&gt;=20,12%,IF(I12&gt;=15,10%,IF(I12&gt;=11,8%,IF(I12&gt;=4,6%,4%))))</f>
        <v>0.06</v>
      </c>
      <c r="L12" s="2" t="s">
        <v>28</v>
      </c>
      <c r="M12" s="2" t="s">
        <v>21</v>
      </c>
    </row>
    <row r="13" customFormat="false" ht="15" hidden="false" customHeight="false" outlineLevel="0" collapsed="false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18</v>
      </c>
      <c r="G13" s="2" t="s">
        <v>85</v>
      </c>
      <c r="H13" s="3" t="n">
        <v>46034</v>
      </c>
      <c r="I13" s="4" t="n">
        <f aca="false">DATEDIF(H13,DATE(2026,4,1),"Y")</f>
        <v>0</v>
      </c>
      <c r="J13" s="5" t="n">
        <f aca="false">IF(G13="Term","N/A (vacation pay per pay period)",IF(I13&gt;=20,30,IF(I13&gt;=15,25,IF(I13&gt;=11,20,IF(I13&gt;=4,15,10)))))</f>
        <v>10</v>
      </c>
      <c r="K13" s="6" t="n">
        <f aca="false">IF(I13&gt;=20,12%,IF(I13&gt;=15,10%,IF(I13&gt;=11,8%,IF(I13&gt;=4,6%,4%))))</f>
        <v>0.04</v>
      </c>
      <c r="L13" s="2" t="s">
        <v>28</v>
      </c>
      <c r="M13" s="2" t="s">
        <v>21</v>
      </c>
    </row>
    <row r="14" customFormat="false" ht="15" hidden="false" customHeight="false" outlineLevel="0" collapsed="false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19</v>
      </c>
      <c r="H14" s="3" t="n">
        <v>41911</v>
      </c>
      <c r="I14" s="4" t="n">
        <f aca="false">DATEDIF(H14,DATE(2026,4,1),"Y")</f>
        <v>11</v>
      </c>
      <c r="J14" s="5" t="n">
        <f aca="false">IF(G14="Term","N/A (vacation pay per pay period)",IF(I14&gt;=20,30,IF(I14&gt;=15,25,IF(I14&gt;=11,20,IF(I14&gt;=4,15,10)))))</f>
        <v>20</v>
      </c>
      <c r="K14" s="6" t="n">
        <f aca="false">IF(I14&gt;=20,12%,IF(I14&gt;=15,10%,IF(I14&gt;=11,8%,IF(I14&gt;=4,6%,4%))))</f>
        <v>0.08</v>
      </c>
      <c r="L14" s="2" t="s">
        <v>28</v>
      </c>
      <c r="M14" s="2" t="s">
        <v>21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45</v>
      </c>
      <c r="G15" s="2" t="s">
        <v>97</v>
      </c>
      <c r="H15" s="3" t="n">
        <v>45810</v>
      </c>
      <c r="I15" s="4" t="n">
        <f aca="false">DATEDIF(H15,DATE(2026,4,1),"Y")</f>
        <v>0</v>
      </c>
      <c r="J15" s="5" t="str">
        <f aca="false">IF(G15="Term","N/A (vacation pay per pay period)",IF(I15&gt;=20,30,IF(I15&gt;=15,25,IF(I15&gt;=11,20,IF(I15&gt;=4,15,10)))))</f>
        <v>N/A (vacation pay per pay period)</v>
      </c>
      <c r="K15" s="6" t="n">
        <f aca="false">IF(I15&gt;=20,12%,IF(I15&gt;=15,10%,IF(I15&gt;=11,8%,IF(I15&gt;=4,6%,4%))))</f>
        <v>0.04</v>
      </c>
      <c r="L15" s="2" t="s">
        <v>68</v>
      </c>
      <c r="M15" s="2" t="s">
        <v>21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3" t="n">
        <v>45061</v>
      </c>
      <c r="I16" s="4" t="n">
        <f aca="false">DATEDIF(H16,DATE(2026,4,1),"Y")</f>
        <v>2</v>
      </c>
      <c r="J16" s="5" t="n">
        <f aca="false">IF(G16="Term","N/A (vacation pay per pay period)",IF(I16&gt;=20,30,IF(I16&gt;=15,25,IF(I16&gt;=11,20,IF(I16&gt;=4,15,10)))))</f>
        <v>10</v>
      </c>
      <c r="K16" s="6" t="n">
        <f aca="false">IF(I16&gt;=20,12%,IF(I16&gt;=15,10%,IF(I16&gt;=11,8%,IF(I16&gt;=4,6%,4%))))</f>
        <v>0.04</v>
      </c>
      <c r="L16" s="2" t="s">
        <v>28</v>
      </c>
      <c r="M16" s="2" t="s">
        <v>21</v>
      </c>
    </row>
    <row r="17" customFormat="false" ht="15" hidden="false" customHeight="false" outlineLevel="0" collapsed="false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56</v>
      </c>
      <c r="G17" s="2" t="s">
        <v>19</v>
      </c>
      <c r="H17" s="3" t="n">
        <v>38950</v>
      </c>
      <c r="I17" s="4" t="n">
        <f aca="false">DATEDIF(H17,DATE(2026,4,1),"Y")</f>
        <v>19</v>
      </c>
      <c r="J17" s="5" t="n">
        <f aca="false">IF(G17="Term","N/A (vacation pay per pay period)",IF(I17&gt;=20,30,IF(I17&gt;=15,25,IF(I17&gt;=11,20,IF(I17&gt;=4,15,10)))))</f>
        <v>25</v>
      </c>
      <c r="K17" s="6" t="n">
        <f aca="false">IF(I17&gt;=20,12%,IF(I17&gt;=15,10%,IF(I17&gt;=11,8%,IF(I17&gt;=4,6%,4%))))</f>
        <v>0.1</v>
      </c>
      <c r="L17" s="2" t="s">
        <v>28</v>
      </c>
      <c r="M1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32.8" hidden="false" customHeight="false" outlineLevel="0" collapsed="false">
      <c r="A1" s="7" t="s">
        <v>110</v>
      </c>
      <c r="B1" s="8"/>
    </row>
    <row r="2" customFormat="false" ht="15" hidden="false" customHeight="false" outlineLevel="0" collapsed="false">
      <c r="A2" s="8"/>
      <c r="B2" s="8"/>
    </row>
    <row r="3" customFormat="false" ht="23.85" hidden="false" customHeight="false" outlineLevel="0" collapsed="false">
      <c r="A3" s="9" t="s">
        <v>111</v>
      </c>
      <c r="B3" s="8" t="s">
        <v>112</v>
      </c>
    </row>
    <row r="4" customFormat="false" ht="15" hidden="false" customHeight="false" outlineLevel="0" collapsed="false">
      <c r="A4" s="9" t="s">
        <v>113</v>
      </c>
      <c r="B4" s="8" t="s">
        <v>114</v>
      </c>
    </row>
    <row r="5" customFormat="false" ht="15" hidden="false" customHeight="false" outlineLevel="0" collapsed="false">
      <c r="A5" s="8"/>
      <c r="B5" s="8"/>
    </row>
    <row r="6" customFormat="false" ht="15" hidden="false" customHeight="false" outlineLevel="0" collapsed="false">
      <c r="A6" s="9" t="s">
        <v>115</v>
      </c>
      <c r="B6" s="8"/>
    </row>
    <row r="7" customFormat="false" ht="15" hidden="false" customHeight="false" outlineLevel="0" collapsed="false">
      <c r="A7" s="8" t="s">
        <v>116</v>
      </c>
      <c r="B7" s="8" t="s">
        <v>117</v>
      </c>
    </row>
    <row r="8" customFormat="false" ht="15" hidden="false" customHeight="false" outlineLevel="0" collapsed="false">
      <c r="A8" s="8" t="s">
        <v>118</v>
      </c>
      <c r="B8" s="8" t="s">
        <v>119</v>
      </c>
    </row>
    <row r="9" customFormat="false" ht="15" hidden="false" customHeight="false" outlineLevel="0" collapsed="false">
      <c r="A9" s="8" t="s">
        <v>120</v>
      </c>
      <c r="B9" s="8" t="s">
        <v>121</v>
      </c>
    </row>
    <row r="10" customFormat="false" ht="23.85" hidden="false" customHeight="false" outlineLevel="0" collapsed="false">
      <c r="A10" s="8" t="s">
        <v>122</v>
      </c>
      <c r="B10" s="8" t="s">
        <v>123</v>
      </c>
    </row>
    <row r="11" customFormat="false" ht="15" hidden="false" customHeight="false" outlineLevel="0" collapsed="false">
      <c r="A11" s="8"/>
      <c r="B11" s="8"/>
    </row>
    <row r="12" customFormat="false" ht="26.85" hidden="false" customHeight="false" outlineLevel="0" collapsed="false">
      <c r="A12" s="10" t="s">
        <v>124</v>
      </c>
      <c r="B12" s="8"/>
    </row>
    <row r="13" customFormat="false" ht="15" hidden="false" customHeight="false" outlineLevel="0" collapsed="false">
      <c r="A13" s="11" t="s">
        <v>8</v>
      </c>
      <c r="B13" s="11" t="s">
        <v>125</v>
      </c>
    </row>
    <row r="14" customFormat="false" ht="15" hidden="false" customHeight="false" outlineLevel="0" collapsed="false">
      <c r="A14" s="8" t="s">
        <v>126</v>
      </c>
      <c r="B14" s="8" t="s">
        <v>127</v>
      </c>
    </row>
    <row r="15" customFormat="false" ht="15" hidden="false" customHeight="false" outlineLevel="0" collapsed="false">
      <c r="A15" s="8" t="s">
        <v>128</v>
      </c>
      <c r="B15" s="8" t="s">
        <v>129</v>
      </c>
    </row>
    <row r="16" customFormat="false" ht="15" hidden="false" customHeight="false" outlineLevel="0" collapsed="false">
      <c r="A16" s="8" t="s">
        <v>130</v>
      </c>
      <c r="B16" s="8" t="s">
        <v>131</v>
      </c>
    </row>
    <row r="17" customFormat="false" ht="15" hidden="false" customHeight="false" outlineLevel="0" collapsed="false">
      <c r="A17" s="8" t="s">
        <v>132</v>
      </c>
      <c r="B17" s="8" t="s">
        <v>133</v>
      </c>
    </row>
    <row r="18" customFormat="false" ht="15" hidden="false" customHeight="false" outlineLevel="0" collapsed="false">
      <c r="A18" s="8" t="s">
        <v>134</v>
      </c>
      <c r="B18" s="8" t="s">
        <v>135</v>
      </c>
    </row>
    <row r="19" customFormat="false" ht="15" hidden="false" customHeight="false" outlineLevel="0" collapsed="false">
      <c r="A19" s="8"/>
      <c r="B19" s="8"/>
    </row>
    <row r="20" customFormat="false" ht="15" hidden="false" customHeight="false" outlineLevel="0" collapsed="false">
      <c r="A20" s="9" t="s">
        <v>136</v>
      </c>
      <c r="B20" s="8"/>
    </row>
    <row r="21" customFormat="false" ht="15" hidden="false" customHeight="false" outlineLevel="0" collapsed="false">
      <c r="A21" s="8"/>
      <c r="B21" s="8" t="s">
        <v>137</v>
      </c>
    </row>
    <row r="22" customFormat="false" ht="15" hidden="false" customHeight="false" outlineLevel="0" collapsed="false">
      <c r="A22" s="8"/>
      <c r="B22" s="8" t="s">
        <v>138</v>
      </c>
    </row>
    <row r="23" customFormat="false" ht="15" hidden="false" customHeight="false" outlineLevel="0" collapsed="false">
      <c r="A23" s="8"/>
      <c r="B23" s="8" t="s">
        <v>139</v>
      </c>
    </row>
    <row r="24" customFormat="false" ht="15" hidden="false" customHeight="false" outlineLevel="0" collapsed="false">
      <c r="A24" s="8"/>
      <c r="B24" s="8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2026-04-06T21:06:18Z</dcterms:created>
  <dc:creator>openpyxl</dc:creator>
  <dc:description/>
  <dc:language>en-US</dc:language>
  <cp:lastModifiedBy/>
  <dcterms:modified xsi:type="dcterms:W3CDTF">2026-04-06T21:06:18Z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